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Sai\Downloads\"/>
    </mc:Choice>
  </mc:AlternateContent>
  <bookViews>
    <workbookView xWindow="0" yWindow="0" windowWidth="19200" windowHeight="6930" activeTab="1"/>
  </bookViews>
  <sheets>
    <sheet name="RAW DATA" sheetId="1" r:id="rId1"/>
    <sheet name="DASHBOARD" sheetId="4" r:id="rId2"/>
  </sheets>
  <definedNames>
    <definedName name="Slicer_Region">#N/A</definedName>
  </definedNames>
  <calcPr calcId="162913"/>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42" i="1" l="1"/>
  <c r="K142" i="1"/>
  <c r="I142" i="1"/>
  <c r="L141" i="1"/>
  <c r="K141" i="1"/>
  <c r="I141" i="1"/>
  <c r="L140" i="1"/>
  <c r="K140" i="1"/>
  <c r="I140" i="1"/>
  <c r="L139" i="1"/>
  <c r="K139" i="1"/>
  <c r="I139" i="1"/>
  <c r="L138" i="1"/>
  <c r="K138" i="1"/>
  <c r="I138" i="1"/>
  <c r="L137" i="1"/>
  <c r="K137" i="1"/>
  <c r="I137" i="1"/>
  <c r="L136" i="1"/>
  <c r="K136" i="1"/>
  <c r="I136" i="1"/>
  <c r="L135" i="1"/>
  <c r="K135" i="1"/>
  <c r="I135" i="1"/>
  <c r="L134" i="1"/>
  <c r="K134" i="1"/>
  <c r="I134" i="1"/>
  <c r="L133" i="1"/>
  <c r="K133" i="1"/>
  <c r="I133" i="1"/>
  <c r="L132" i="1"/>
  <c r="K132" i="1"/>
  <c r="I132" i="1"/>
  <c r="L131" i="1"/>
  <c r="K131" i="1"/>
  <c r="I131" i="1"/>
  <c r="L130" i="1"/>
  <c r="K130" i="1"/>
  <c r="I130" i="1"/>
  <c r="L129" i="1"/>
  <c r="K129" i="1"/>
  <c r="I129" i="1"/>
  <c r="L128" i="1"/>
  <c r="K128" i="1"/>
  <c r="I128" i="1"/>
  <c r="L127" i="1"/>
  <c r="K127" i="1"/>
  <c r="I127" i="1"/>
  <c r="L126" i="1"/>
  <c r="K126" i="1"/>
  <c r="I126" i="1"/>
  <c r="L125" i="1"/>
  <c r="K125" i="1"/>
  <c r="I125" i="1"/>
  <c r="L124" i="1"/>
  <c r="K124" i="1"/>
  <c r="I124" i="1"/>
  <c r="L123" i="1"/>
  <c r="K123" i="1"/>
  <c r="I123" i="1"/>
  <c r="L122" i="1"/>
  <c r="K122" i="1"/>
  <c r="I122" i="1"/>
  <c r="L121" i="1"/>
  <c r="K121" i="1"/>
  <c r="I121" i="1"/>
  <c r="L120" i="1"/>
  <c r="K120" i="1"/>
  <c r="I120" i="1"/>
  <c r="L119" i="1"/>
  <c r="K119" i="1"/>
  <c r="I119" i="1"/>
  <c r="L118" i="1"/>
  <c r="K118" i="1"/>
  <c r="I118" i="1"/>
  <c r="L117" i="1"/>
  <c r="K117" i="1"/>
  <c r="I117" i="1"/>
  <c r="L116" i="1"/>
  <c r="K116" i="1"/>
  <c r="I116" i="1"/>
  <c r="L115" i="1"/>
  <c r="K115" i="1"/>
  <c r="I115" i="1"/>
  <c r="L114" i="1"/>
  <c r="K114" i="1"/>
  <c r="I114" i="1"/>
  <c r="L113" i="1"/>
  <c r="K113" i="1"/>
  <c r="I113" i="1"/>
  <c r="L112" i="1"/>
  <c r="K112" i="1"/>
  <c r="I112" i="1"/>
  <c r="L111" i="1"/>
  <c r="K111" i="1"/>
  <c r="I111" i="1"/>
  <c r="L110" i="1"/>
  <c r="K110" i="1"/>
  <c r="I110" i="1"/>
  <c r="L109" i="1"/>
  <c r="K109" i="1"/>
  <c r="I109" i="1"/>
  <c r="L108" i="1"/>
  <c r="K108" i="1"/>
  <c r="I108" i="1"/>
  <c r="L107" i="1"/>
  <c r="K107" i="1"/>
  <c r="I107" i="1"/>
  <c r="L106" i="1"/>
  <c r="K106" i="1"/>
  <c r="I106" i="1"/>
  <c r="L105" i="1"/>
  <c r="K105" i="1"/>
  <c r="I105" i="1"/>
  <c r="L104" i="1"/>
  <c r="K104" i="1"/>
  <c r="I104" i="1"/>
  <c r="L103" i="1"/>
  <c r="K103" i="1"/>
  <c r="I103" i="1"/>
  <c r="L102" i="1"/>
  <c r="K102" i="1"/>
  <c r="I102" i="1"/>
  <c r="L101" i="1"/>
  <c r="K101" i="1"/>
  <c r="I101" i="1"/>
  <c r="L100" i="1"/>
  <c r="K100" i="1"/>
  <c r="I100" i="1"/>
  <c r="L99" i="1"/>
  <c r="K99" i="1"/>
  <c r="I99" i="1"/>
  <c r="L98" i="1"/>
  <c r="K98" i="1"/>
  <c r="I98" i="1"/>
  <c r="L97" i="1"/>
  <c r="K97" i="1"/>
  <c r="I97" i="1"/>
  <c r="L96" i="1"/>
  <c r="K96" i="1"/>
  <c r="I96" i="1"/>
  <c r="L95" i="1"/>
  <c r="K95" i="1"/>
  <c r="I95" i="1"/>
  <c r="L94" i="1"/>
  <c r="K94" i="1"/>
  <c r="I94" i="1"/>
  <c r="L93" i="1"/>
  <c r="K93" i="1"/>
  <c r="I93" i="1"/>
  <c r="L92" i="1"/>
  <c r="K92" i="1"/>
  <c r="I92" i="1"/>
  <c r="L91" i="1"/>
  <c r="K91" i="1"/>
  <c r="I91" i="1"/>
  <c r="L90" i="1"/>
  <c r="K90" i="1"/>
  <c r="I90" i="1"/>
  <c r="L89" i="1"/>
  <c r="K89" i="1"/>
  <c r="I89" i="1"/>
  <c r="L88" i="1"/>
  <c r="K88" i="1"/>
  <c r="I88" i="1"/>
  <c r="L87" i="1"/>
  <c r="K87" i="1"/>
  <c r="I87" i="1"/>
  <c r="L86" i="1"/>
  <c r="K86" i="1"/>
  <c r="I86" i="1"/>
  <c r="L85" i="1"/>
  <c r="K85" i="1"/>
  <c r="I85" i="1"/>
  <c r="L84" i="1"/>
  <c r="K84" i="1"/>
  <c r="I84" i="1"/>
  <c r="L83" i="1"/>
  <c r="K83" i="1"/>
  <c r="I83" i="1"/>
  <c r="L82" i="1"/>
  <c r="K82" i="1"/>
  <c r="I82" i="1"/>
  <c r="L81" i="1"/>
  <c r="K81" i="1"/>
  <c r="I81" i="1"/>
  <c r="L80" i="1"/>
  <c r="K80" i="1"/>
  <c r="I80" i="1"/>
  <c r="L79" i="1"/>
  <c r="K79" i="1"/>
  <c r="I79" i="1"/>
  <c r="L78" i="1"/>
  <c r="K78" i="1"/>
  <c r="I78" i="1"/>
  <c r="L77" i="1"/>
  <c r="K77" i="1"/>
  <c r="I77" i="1"/>
  <c r="L76" i="1"/>
  <c r="K76" i="1"/>
  <c r="I76" i="1"/>
  <c r="L75" i="1"/>
  <c r="K75" i="1"/>
  <c r="I75" i="1"/>
  <c r="L74" i="1"/>
  <c r="K74" i="1"/>
  <c r="I74" i="1"/>
  <c r="L73" i="1"/>
  <c r="K73" i="1"/>
  <c r="I73" i="1"/>
  <c r="L72" i="1"/>
  <c r="K72" i="1"/>
  <c r="I72" i="1"/>
  <c r="L71" i="1"/>
  <c r="K71" i="1"/>
  <c r="I71" i="1"/>
  <c r="L70" i="1"/>
  <c r="K70" i="1"/>
  <c r="I70" i="1"/>
  <c r="L69" i="1"/>
  <c r="K69" i="1"/>
  <c r="I69" i="1"/>
  <c r="L68" i="1"/>
  <c r="K68" i="1"/>
  <c r="I68" i="1"/>
  <c r="L67" i="1"/>
  <c r="K67" i="1"/>
  <c r="I67" i="1"/>
  <c r="L66" i="1"/>
  <c r="K66" i="1"/>
  <c r="I66" i="1"/>
  <c r="L65" i="1"/>
  <c r="K65" i="1"/>
  <c r="I65" i="1"/>
  <c r="L64" i="1"/>
  <c r="K64" i="1"/>
  <c r="I64" i="1"/>
  <c r="L63" i="1"/>
  <c r="K63" i="1"/>
  <c r="I63" i="1"/>
  <c r="L62" i="1"/>
  <c r="K62" i="1"/>
  <c r="I62" i="1"/>
  <c r="L61" i="1"/>
  <c r="K61" i="1"/>
  <c r="I61" i="1"/>
  <c r="L60" i="1"/>
  <c r="K60" i="1"/>
  <c r="I60" i="1"/>
  <c r="L59" i="1"/>
  <c r="K59" i="1"/>
  <c r="I59" i="1"/>
  <c r="L58" i="1"/>
  <c r="K58" i="1"/>
  <c r="I58" i="1"/>
  <c r="L57" i="1"/>
  <c r="K57" i="1"/>
  <c r="I57" i="1"/>
  <c r="L56" i="1"/>
  <c r="K56" i="1"/>
  <c r="I56" i="1"/>
  <c r="L55" i="1"/>
  <c r="K55" i="1"/>
  <c r="I55" i="1"/>
  <c r="L54" i="1"/>
  <c r="K54" i="1"/>
  <c r="I54" i="1"/>
  <c r="L53" i="1"/>
  <c r="K53" i="1"/>
  <c r="I53" i="1"/>
  <c r="L52" i="1"/>
  <c r="K52" i="1"/>
  <c r="I52" i="1"/>
  <c r="L51" i="1"/>
  <c r="K51" i="1"/>
  <c r="I51" i="1"/>
  <c r="L50" i="1"/>
  <c r="K50" i="1"/>
  <c r="I50" i="1"/>
  <c r="L49" i="1"/>
  <c r="K49" i="1"/>
  <c r="I49" i="1"/>
  <c r="L48" i="1"/>
  <c r="K48" i="1"/>
  <c r="I48" i="1"/>
  <c r="L47" i="1"/>
  <c r="K47" i="1"/>
  <c r="I47" i="1"/>
  <c r="L46" i="1"/>
  <c r="K46" i="1"/>
  <c r="I46" i="1"/>
  <c r="L45" i="1"/>
  <c r="K45" i="1"/>
  <c r="I45" i="1"/>
  <c r="L44" i="1"/>
  <c r="K44" i="1"/>
  <c r="I44" i="1"/>
  <c r="L43" i="1"/>
  <c r="K43" i="1"/>
  <c r="I43" i="1"/>
  <c r="L42" i="1"/>
  <c r="K42" i="1"/>
  <c r="I42" i="1"/>
  <c r="L41" i="1"/>
  <c r="K41" i="1"/>
  <c r="I41" i="1"/>
  <c r="L40" i="1"/>
  <c r="K40" i="1"/>
  <c r="I40" i="1"/>
  <c r="L39" i="1"/>
  <c r="K39" i="1"/>
  <c r="I39" i="1"/>
  <c r="L38" i="1"/>
  <c r="K38" i="1"/>
  <c r="I38" i="1"/>
  <c r="L37" i="1"/>
  <c r="K37" i="1"/>
  <c r="I37" i="1"/>
  <c r="L36" i="1"/>
  <c r="K36" i="1"/>
  <c r="I36" i="1"/>
  <c r="L35" i="1"/>
  <c r="K35" i="1"/>
  <c r="I35" i="1"/>
  <c r="L34" i="1"/>
  <c r="K34" i="1"/>
  <c r="I34" i="1"/>
  <c r="L33" i="1"/>
  <c r="K33" i="1"/>
  <c r="I33" i="1"/>
  <c r="L32" i="1"/>
  <c r="K32" i="1"/>
  <c r="I32" i="1"/>
  <c r="L31" i="1"/>
  <c r="K31" i="1"/>
  <c r="I31" i="1"/>
  <c r="L30" i="1"/>
  <c r="K30" i="1"/>
  <c r="I30" i="1"/>
  <c r="L29" i="1"/>
  <c r="K29" i="1"/>
  <c r="I29" i="1"/>
  <c r="L28" i="1"/>
  <c r="K28" i="1"/>
  <c r="I28" i="1"/>
  <c r="L27" i="1"/>
  <c r="K27" i="1"/>
  <c r="I27" i="1"/>
  <c r="L26" i="1"/>
  <c r="K26" i="1"/>
  <c r="I26" i="1"/>
  <c r="L25" i="1"/>
  <c r="K25" i="1"/>
  <c r="I25" i="1"/>
  <c r="L24" i="1"/>
  <c r="K24" i="1"/>
  <c r="I24" i="1"/>
  <c r="L23" i="1"/>
  <c r="K23" i="1"/>
  <c r="I23" i="1"/>
  <c r="L22" i="1"/>
  <c r="K22" i="1"/>
  <c r="I22" i="1"/>
  <c r="L21" i="1"/>
  <c r="K21" i="1"/>
  <c r="I21" i="1"/>
  <c r="L20" i="1"/>
  <c r="K20" i="1"/>
  <c r="I20" i="1"/>
  <c r="L19" i="1"/>
  <c r="K19" i="1"/>
  <c r="I19" i="1"/>
  <c r="L18" i="1"/>
  <c r="K18" i="1"/>
  <c r="I18" i="1"/>
  <c r="L17" i="1"/>
  <c r="K17" i="1"/>
  <c r="I17" i="1"/>
  <c r="L16" i="1"/>
  <c r="K16" i="1"/>
  <c r="I16" i="1"/>
  <c r="L15" i="1"/>
  <c r="K15" i="1"/>
  <c r="I15" i="1"/>
  <c r="L14" i="1"/>
  <c r="K14" i="1"/>
  <c r="I14" i="1"/>
  <c r="L13" i="1"/>
  <c r="K13" i="1"/>
  <c r="I13" i="1"/>
  <c r="L12" i="1"/>
  <c r="K12" i="1"/>
  <c r="I12" i="1"/>
  <c r="L11" i="1"/>
  <c r="K11" i="1"/>
  <c r="I11" i="1"/>
  <c r="L10" i="1"/>
  <c r="K10" i="1"/>
  <c r="I10" i="1"/>
  <c r="L9" i="1"/>
  <c r="K9" i="1"/>
  <c r="I9" i="1"/>
  <c r="L8" i="1"/>
  <c r="K8" i="1"/>
  <c r="I8" i="1"/>
  <c r="L7" i="1"/>
  <c r="K7" i="1"/>
  <c r="I7" i="1"/>
  <c r="L6" i="1"/>
  <c r="K6" i="1"/>
  <c r="I6" i="1"/>
  <c r="L5" i="1"/>
  <c r="K5" i="1"/>
  <c r="I5" i="1"/>
  <c r="L4" i="1"/>
  <c r="K4" i="1"/>
  <c r="I4" i="1"/>
  <c r="L3" i="1"/>
  <c r="K3" i="1"/>
  <c r="I3" i="1"/>
  <c r="L2" i="1"/>
  <c r="K2" i="1"/>
  <c r="I2" i="1"/>
</calcChain>
</file>

<file path=xl/sharedStrings.xml><?xml version="1.0" encoding="utf-8"?>
<sst xmlns="http://schemas.openxmlformats.org/spreadsheetml/2006/main" count="463" uniqueCount="305">
  <si>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</si>
  <si>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</si>
  <si>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</si>
  <si>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</si>
  <si>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</si>
  <si>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</si>
  <si>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</si>
  <si>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</si>
  <si>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</si>
  <si>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</si>
  <si>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</si>
  <si>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</si>
  <si>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</si>
  <si>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</si>
  <si>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</si>
  <si>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</si>
  <si>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</si>
  <si>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</si>
  <si>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</si>
  <si>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</si>
  <si>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</si>
  <si>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</si>
  <si>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</si>
  <si>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</si>
  <si>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</si>
  <si>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</si>
  <si>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</si>
  <si>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</si>
  <si>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</si>
  <si>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</si>
  <si>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</si>
  <si>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</si>
  <si>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</si>
  <si>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</si>
  <si>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</si>
  <si>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</si>
  <si>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</si>
  <si>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</si>
  <si>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</si>
  <si>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</si>
  <si>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</si>
  <si>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</si>
  <si>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</si>
  <si>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</si>
  <si>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</si>
  <si>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</si>
  <si>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</si>
  <si>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</si>
  <si>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</si>
  <si>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</si>
  <si>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</si>
  <si>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</si>
  <si>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</si>
  <si>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</si>
  <si>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</si>
  <si>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</si>
  <si>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</si>
  <si>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</si>
  <si>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</si>
  <si>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</si>
  <si>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</si>
  <si>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</si>
  <si>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</si>
  <si>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</si>
  <si>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</si>
  <si>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</si>
  <si>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</si>
  <si>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</si>
  <si>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</si>
  <si>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</si>
  <si>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</si>
  <si>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</si>
  <si>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</si>
  <si>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</si>
  <si>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</si>
  <si>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</si>
  <si>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</si>
  <si>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</si>
  <si>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</si>
  <si>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</si>
  <si>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</si>
  <si>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</si>
  <si>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</si>
  <si>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</si>
  <si>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</si>
  <si>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</si>
  <si>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</si>
  <si>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</si>
  <si>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</si>
  <si>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</si>
  <si>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</si>
  <si>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</si>
  <si>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</si>
  <si>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</si>
  <si>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</si>
  <si>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</si>
  <si>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</si>
  <si>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</si>
  <si>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</si>
  <si>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</si>
  <si>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</si>
  <si>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</si>
  <si>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</si>
  <si>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</si>
  <si>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</si>
  <si>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</si>
  <si>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</si>
  <si>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</si>
  <si>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</si>
  <si>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</si>
  <si>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</si>
  <si>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</si>
  <si>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</si>
  <si>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</si>
  <si>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</si>
  <si>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</si>
  <si>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</si>
  <si>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</si>
  <si>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</si>
  <si>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</si>
  <si>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</si>
  <si>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</si>
  <si>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</si>
  <si>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</si>
  <si>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</si>
  <si>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</si>
  <si>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</si>
  <si>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</si>
  <si>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</si>
  <si>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</si>
  <si>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</si>
  <si>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</si>
  <si>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</si>
  <si>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</si>
  <si>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</si>
  <si>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</si>
  <si>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</si>
  <si>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</si>
  <si>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</si>
  <si>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</si>
  <si>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</si>
  <si>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</si>
  <si>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</si>
  <si>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</si>
  <si>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</si>
  <si>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</si>
  <si>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</si>
  <si>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</si>
  <si>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</si>
  <si>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</si>
  <si>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</si>
  <si>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</si>
  <si>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</si>
  <si>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</si>
  <si>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</si>
  <si>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</si>
  <si>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</si>
  <si>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</si>
  <si>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</si>
  <si>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</si>
  <si>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</si>
  <si>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</si>
  <si>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</si>
  <si>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</si>
  <si>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</si>
  <si>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</si>
  <si>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</si>
  <si>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</si>
  <si>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</si>
  <si>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</si>
  <si>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</si>
  <si>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</si>
  <si>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</si>
  <si>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</si>
  <si>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</si>
  <si>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</si>
  <si>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</si>
  <si>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</si>
  <si>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</si>
  <si>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</si>
  <si>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</si>
  <si>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</si>
  <si>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</si>
  <si>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</si>
  <si>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</si>
  <si>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</si>
  <si>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</si>
  <si>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</si>
  <si>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</si>
  <si>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</si>
  <si>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</si>
  <si>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</si>
  <si>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</si>
  <si>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</si>
  <si>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</si>
  <si>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</si>
  <si>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</si>
  <si>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</si>
  <si>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</si>
  <si>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</si>
  <si>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</si>
  <si>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</si>
  <si>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</si>
  <si>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</si>
  <si>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</si>
  <si>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</si>
  <si>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</si>
  <si>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</si>
  <si>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</si>
  <si>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</si>
  <si>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</si>
  <si>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</si>
  <si>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</si>
  <si>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</si>
  <si>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</si>
  <si>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</si>
  <si>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</si>
  <si>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</si>
  <si>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</si>
  <si>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</si>
  <si>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</si>
  <si>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</si>
  <si>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</si>
  <si>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</si>
  <si>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</si>
  <si>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</si>
  <si>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</si>
  <si>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</si>
  <si>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</si>
  <si>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</si>
  <si>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</si>
  <si>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</si>
  <si>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</si>
  <si>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</si>
  <si>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</si>
  <si>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</si>
  <si>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</si>
  <si>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</si>
  <si>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</si>
  <si>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</si>
  <si>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</si>
  <si>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</si>
  <si>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</si>
  <si>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</si>
  <si>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</si>
  <si>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</si>
  <si>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</si>
  <si>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</si>
  <si>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</si>
  <si>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</si>
  <si>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</si>
  <si>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</si>
  <si>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</si>
  <si>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</si>
  <si>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</si>
  <si>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</si>
  <si>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</si>
  <si>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</si>
  <si>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</si>
  <si>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</si>
  <si>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</si>
  <si>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</si>
  <si>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</si>
  <si>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</si>
  <si>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</si>
  <si>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</si>
  <si>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</si>
  <si>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</si>
  <si>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</si>
  <si>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</si>
  <si>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</si>
  <si>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</si>
  <si>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</si>
  <si>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</si>
  <si>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</si>
  <si>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</si>
  <si>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</si>
  <si>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</si>
  <si>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</si>
  <si>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</si>
  <si>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</si>
  <si>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</si>
  <si>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</si>
  <si>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</si>
  <si>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</si>
  <si>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</si>
  <si>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</si>
  <si>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</si>
  <si>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</si>
  <si>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</si>
  <si>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</si>
  <si>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</si>
  <si>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</si>
  <si>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</si>
  <si>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</si>
  <si>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</si>
  <si>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</si>
  <si>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</si>
  <si>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</si>
  <si>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</si>
  <si>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</si>
  <si>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</si>
  <si>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</si>
  <si>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Target Hit% Wise</t>
  </si>
  <si>
    <t xml:space="preserve"> Away From Target %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</si>
</sst>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sz val="11"/>
      <color theme="0" tint="-4.9989318521683403E-2"/>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4" borderId="0" xfId="0" applyFill="1"/>
    <xf numFmtId="0" fontId="0" fillId="5" borderId="0" xfId="0" applyFill="1"/>
    <xf numFmtId="0" fontId="5" fillId="6" borderId="0" xfId="0" applyFont="1" applyFill="1"/>
    <xf numFmtId="0" fontId="0" fillId="6" borderId="0" xfId="0" applyFill="1"/>
    <xf numFmtId="0" fontId="0" fillId="6" borderId="0" xfId="0" applyFill="1" applyAlignment="1">
      <alignment horizontal="left"/>
    </xf>
    <xf numFmtId="10" fontId="0" fillId="6" borderId="0" xfId="0" applyNumberFormat="1" applyFill="1"/>
    <xf numFmtId="0" fontId="0" fillId="6" borderId="0" xfId="0" applyFont="1" applyFill="1"/>
    <xf numFmtId="0" fontId="5" fillId="7" borderId="0" xfId="0" applyFont="1" applyFill="1"/>
  </cellXfs>
  <cellStyles count="2">
    <cellStyle name="Normal" xfId="0" builtinId="0"/>
    <cellStyle name="Percent" xfId="1" builtinId="5"/>
  </cellStyles>
  <dxfs count="1">
    <dxf>
      <fill>
        <patternFill>
          <bgColor theme="1" tint="0.24994659260841701"/>
        </patternFill>
      </fill>
    </dxf>
  </dxfs>
  <tableStyles count="1" defaultTableStyle="TableStyleMedium2" defaultPivotStyle="PivotStyleLight16">
    <tableStyle name="Slicer Style 1" pivot="0" table="0" count="5">
      <tableStyleElement type="wholeTable" dxfId="0"/>
    </tableStyle>
  </tableStyles>
  <extLst>
    <ext xmlns:x14="http://schemas.microsoft.com/office/spreadsheetml/2009/9/main" uri="{46F421CA-312F-682f-3DD2-61675219B42D}">
      <x14:dxfs count="4">
        <dxf>
          <fill>
            <patternFill>
              <bgColor theme="7" tint="-0.24994659260841701"/>
            </patternFill>
          </fill>
        </dxf>
        <dxf>
          <fill>
            <patternFill>
              <bgColor theme="7" tint="-0.24994659260841701"/>
            </patternFill>
          </fill>
        </dxf>
        <dxf>
          <fill>
            <patternFill>
              <bgColor rgb="FFFFFF00"/>
            </patternFill>
          </fill>
        </dxf>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 2.xlsx]DASHBOARD!PivotTable5</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Kahkasha Parveen</c:v>
                </c:pt>
                <c:pt idx="1">
                  <c:v>Mukesh Nagar</c:v>
                </c:pt>
                <c:pt idx="2">
                  <c:v>Raj Verma</c:v>
                </c:pt>
                <c:pt idx="3">
                  <c:v>Sanju Ramdas</c:v>
                </c:pt>
                <c:pt idx="4">
                  <c:v>Sheeba Joseph</c:v>
                </c:pt>
              </c:strCache>
            </c:strRef>
          </c:cat>
          <c:val>
            <c:numRef>
              <c:f>DASHBOARD!$B$4:$B$8</c:f>
              <c:numCache>
                <c:formatCode>General</c:formatCode>
                <c:ptCount val="5"/>
                <c:pt idx="0">
                  <c:v>351</c:v>
                </c:pt>
                <c:pt idx="1">
                  <c:v>351</c:v>
                </c:pt>
                <c:pt idx="2">
                  <c:v>339</c:v>
                </c:pt>
                <c:pt idx="3">
                  <c:v>332</c:v>
                </c:pt>
                <c:pt idx="4">
                  <c:v>344</c:v>
                </c:pt>
              </c:numCache>
            </c:numRef>
          </c:val>
          <c:extLst>
            <c:ext xmlns:c16="http://schemas.microsoft.com/office/drawing/2014/chart" uri="{C3380CC4-5D6E-409C-BE32-E72D297353CC}">
              <c16:uniqueId val="{00000000-7C57-43D0-AC9B-5DC48513A0BA}"/>
            </c:ext>
          </c:extLst>
        </c:ser>
        <c:dLbls>
          <c:showLegendKey val="0"/>
          <c:showVal val="0"/>
          <c:showCatName val="0"/>
          <c:showSerName val="0"/>
          <c:showPercent val="0"/>
          <c:showBubbleSize val="0"/>
        </c:dLbls>
        <c:gapWidth val="182"/>
        <c:axId val="868188384"/>
        <c:axId val="868189632"/>
      </c:barChart>
      <c:catAx>
        <c:axId val="86818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189632"/>
        <c:crosses val="autoZero"/>
        <c:auto val="1"/>
        <c:lblAlgn val="ctr"/>
        <c:lblOffset val="100"/>
        <c:noMultiLvlLbl val="0"/>
      </c:catAx>
      <c:valAx>
        <c:axId val="868189632"/>
        <c:scaling>
          <c:orientation val="minMax"/>
        </c:scaling>
        <c:delete val="1"/>
        <c:axPos val="b"/>
        <c:numFmt formatCode="General" sourceLinked="1"/>
        <c:majorTickMark val="none"/>
        <c:minorTickMark val="none"/>
        <c:tickLblPos val="nextTo"/>
        <c:crossAx val="868188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 2.xlsx]DASHBOARD!PivotTable9</c:name>
    <c:fmtId val="0"/>
  </c:pivotSource>
  <c:chart>
    <c:autoTitleDeleted val="1"/>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111111111111111"/>
          <c:y val="0.10185185185185185"/>
          <c:w val="0.53888888888888886"/>
          <c:h val="0.89814814814814814"/>
        </c:manualLayout>
      </c:layout>
      <c:pieChart>
        <c:varyColors val="1"/>
        <c:ser>
          <c:idx val="0"/>
          <c:order val="0"/>
          <c:tx>
            <c:strRef>
              <c:f>DASHBOARD!$H$3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59B-499E-8661-B6E8BA333B5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59B-499E-8661-B6E8BA333B5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59B-499E-8661-B6E8BA333B5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59B-499E-8661-B6E8BA333B5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59B-499E-8661-B6E8BA333B5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DASHBOARD!$G$4:$G$8</c:f>
              <c:strCache>
                <c:ptCount val="5"/>
                <c:pt idx="0">
                  <c:v>Kahkasha Parveen</c:v>
                </c:pt>
                <c:pt idx="1">
                  <c:v>Mukesh Nagar</c:v>
                </c:pt>
                <c:pt idx="2">
                  <c:v>Raj Verma</c:v>
                </c:pt>
                <c:pt idx="3">
                  <c:v>Sanju Ramdas</c:v>
                </c:pt>
                <c:pt idx="4">
                  <c:v>Sheeba Joseph</c:v>
                </c:pt>
              </c:strCache>
            </c:strRef>
          </c:cat>
          <c:val>
            <c:numRef>
              <c:f>DASHBOARD!$H$4:$H$8</c:f>
              <c:numCache>
                <c:formatCode>0.00%</c:formatCode>
                <c:ptCount val="5"/>
                <c:pt idx="0">
                  <c:v>0.70199999999999996</c:v>
                </c:pt>
                <c:pt idx="1">
                  <c:v>0.70199999999999996</c:v>
                </c:pt>
                <c:pt idx="2">
                  <c:v>0.67800000000000005</c:v>
                </c:pt>
                <c:pt idx="3">
                  <c:v>0.66400000000000003</c:v>
                </c:pt>
                <c:pt idx="4">
                  <c:v>0.68799999999999994</c:v>
                </c:pt>
              </c:numCache>
            </c:numRef>
          </c:val>
          <c:extLst>
            <c:ext xmlns:c16="http://schemas.microsoft.com/office/drawing/2014/chart" uri="{C3380CC4-5D6E-409C-BE32-E72D297353CC}">
              <c16:uniqueId val="{00000000-FD25-4715-8A94-68E11D2CEF8B}"/>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 2.xlsx]DASHBOARD!PivotTable10</c:name>
    <c:fmtId val="1"/>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layout/>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ln w="28575" cap="rnd">
            <a:solidFill>
              <a:schemeClr val="accent1"/>
            </a:solidFill>
            <a:round/>
          </a:ln>
          <a:effectLst/>
        </c:spPr>
        <c:marker>
          <c:symbol val="none"/>
        </c:marker>
        <c:dLbl>
          <c:idx val="0"/>
          <c:layout>
            <c:manualLayout>
              <c:x val="-3.3293697978596909E-2"/>
              <c:y val="-6.968641114982578E-2"/>
            </c:manualLayout>
          </c:layout>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247422680412371E-2"/>
          <c:y val="6.7132867132867133E-2"/>
          <c:w val="0.91752577319587625"/>
          <c:h val="0.74722625406089971"/>
        </c:manualLayout>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Krishana Kumar</c:v>
                </c:pt>
                <c:pt idx="1">
                  <c:v>Manoj Kumar</c:v>
                </c:pt>
                <c:pt idx="2">
                  <c:v>Omprakash O</c:v>
                </c:pt>
                <c:pt idx="3">
                  <c:v>Rohit Nishchal</c:v>
                </c:pt>
                <c:pt idx="4">
                  <c:v>Swarnlata Borse</c:v>
                </c:pt>
              </c:strCache>
            </c:strRef>
          </c:cat>
          <c:val>
            <c:numRef>
              <c:f>DASHBOARD!$K$4:$K$8</c:f>
              <c:numCache>
                <c:formatCode>0.00%</c:formatCode>
                <c:ptCount val="5"/>
                <c:pt idx="0">
                  <c:v>0.51</c:v>
                </c:pt>
                <c:pt idx="1">
                  <c:v>0.43799999999999994</c:v>
                </c:pt>
                <c:pt idx="2">
                  <c:v>0.71399999999999997</c:v>
                </c:pt>
                <c:pt idx="3">
                  <c:v>0.58600000000000008</c:v>
                </c:pt>
                <c:pt idx="4">
                  <c:v>0.622</c:v>
                </c:pt>
              </c:numCache>
            </c:numRef>
          </c:val>
          <c:smooth val="0"/>
          <c:extLst>
            <c:ext xmlns:c16="http://schemas.microsoft.com/office/drawing/2014/chart" uri="{C3380CC4-5D6E-409C-BE32-E72D297353CC}">
              <c16:uniqueId val="{00000000-6CD6-48E1-B832-CD265DC100CF}"/>
            </c:ext>
          </c:extLst>
        </c:ser>
        <c:dLbls>
          <c:showLegendKey val="0"/>
          <c:showVal val="0"/>
          <c:showCatName val="0"/>
          <c:showSerName val="0"/>
          <c:showPercent val="0"/>
          <c:showBubbleSize val="0"/>
        </c:dLbls>
        <c:smooth val="0"/>
        <c:axId val="1154349664"/>
        <c:axId val="1154354240"/>
      </c:lineChart>
      <c:catAx>
        <c:axId val="115434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354240"/>
        <c:crosses val="autoZero"/>
        <c:auto val="1"/>
        <c:lblAlgn val="ctr"/>
        <c:lblOffset val="100"/>
        <c:noMultiLvlLbl val="0"/>
      </c:catAx>
      <c:valAx>
        <c:axId val="1154354240"/>
        <c:scaling>
          <c:orientation val="minMax"/>
        </c:scaling>
        <c:delete val="1"/>
        <c:axPos val="l"/>
        <c:numFmt formatCode="0.00%" sourceLinked="1"/>
        <c:majorTickMark val="none"/>
        <c:minorTickMark val="none"/>
        <c:tickLblPos val="nextTo"/>
        <c:crossAx val="1154349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76200</xdr:rowOff>
    </xdr:from>
    <xdr:to>
      <xdr:col>5</xdr:col>
      <xdr:colOff>50800</xdr:colOff>
      <xdr:row>17</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142875</xdr:colOff>
      <xdr:row>8</xdr:row>
      <xdr:rowOff>107949</xdr:rowOff>
    </xdr:from>
    <xdr:to>
      <xdr:col>8</xdr:col>
      <xdr:colOff>31750</xdr:colOff>
      <xdr:row>18</xdr:row>
      <xdr:rowOff>12700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149225</xdr:colOff>
      <xdr:row>8</xdr:row>
      <xdr:rowOff>88900</xdr:rowOff>
    </xdr:from>
    <xdr:to>
      <xdr:col>10</xdr:col>
      <xdr:colOff>1530350</xdr:colOff>
      <xdr:row>18</xdr:row>
      <xdr:rowOff>69850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0</xdr:row>
      <xdr:rowOff>171450</xdr:rowOff>
    </xdr:from>
    <xdr:to>
      <xdr:col>10</xdr:col>
      <xdr:colOff>1435100</xdr:colOff>
      <xdr:row>1</xdr:row>
      <xdr:rowOff>241300</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0" y="171450"/>
              <a:ext cx="8788400"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i" refreshedDate="46229.425419560182" createdVersion="6" refreshedVersion="6" minRefreshableVersion="3" recordCount="141">
  <cacheSource type="worksheet">
    <worksheetSource ref="A1:L142" sheet="RAW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2"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46"/>
    </i>
    <i>
      <x v="54"/>
    </i>
    <i>
      <x v="70"/>
    </i>
    <i>
      <x v="103"/>
    </i>
    <i>
      <x v="135"/>
    </i>
  </rowItems>
  <colItems count="1">
    <i/>
  </colItems>
  <dataFields count="1">
    <dataField name=" Away From Target % Wise" fld="11" baseField="1" baseItem="0" numFmtId="10"/>
  </dataFields>
  <chartFormats count="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77"/>
          </reference>
        </references>
      </pivotArea>
    </chartFormat>
  </chartFormats>
  <pivotTableStyleInfo name="PivotStyleDark7"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8"/>
    </i>
    <i>
      <x v="62"/>
    </i>
    <i>
      <x v="82"/>
    </i>
    <i>
      <x v="111"/>
    </i>
    <i>
      <x v="119"/>
    </i>
  </rowItems>
  <colItems count="1">
    <i/>
  </colItems>
  <dataFields count="1">
    <dataField name="Target Hit% Wise" fld="10" baseField="1" baseItem="0" numFmtId="10"/>
  </dataFields>
  <chartFormats count="11">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8"/>
          </reference>
        </references>
      </pivotArea>
    </chartFormat>
    <chartFormat chart="0" format="3">
      <pivotArea type="data" outline="0" fieldPosition="0">
        <references count="2">
          <reference field="4294967294" count="1" selected="0">
            <x v="0"/>
          </reference>
          <reference field="1" count="1" selected="0">
            <x v="58"/>
          </reference>
        </references>
      </pivotArea>
    </chartFormat>
    <chartFormat chart="0" format="4">
      <pivotArea type="data" outline="0" fieldPosition="0">
        <references count="2">
          <reference field="4294967294" count="1" selected="0">
            <x v="0"/>
          </reference>
          <reference field="1" count="1" selected="0">
            <x v="107"/>
          </reference>
        </references>
      </pivotArea>
    </chartFormat>
    <chartFormat chart="0" format="5">
      <pivotArea type="data" outline="0" fieldPosition="0">
        <references count="2">
          <reference field="4294967294" count="1" selected="0">
            <x v="0"/>
          </reference>
          <reference field="1" count="1" selected="0">
            <x v="115"/>
          </reference>
        </references>
      </pivotArea>
    </chartFormat>
    <chartFormat chart="0" format="6">
      <pivotArea type="data" outline="0" fieldPosition="0">
        <references count="2">
          <reference field="4294967294" count="1" selected="0">
            <x v="0"/>
          </reference>
          <reference field="1" count="1" selected="0">
            <x v="123"/>
          </reference>
        </references>
      </pivotArea>
    </chartFormat>
    <chartFormat chart="0" format="7">
      <pivotArea type="data" outline="0" fieldPosition="0">
        <references count="2">
          <reference field="4294967294" count="1" selected="0">
            <x v="0"/>
          </reference>
          <reference field="1" count="1" selected="0">
            <x v="3"/>
          </reference>
        </references>
      </pivotArea>
    </chartFormat>
    <chartFormat chart="0" format="8">
      <pivotArea type="data" outline="0" fieldPosition="0">
        <references count="2">
          <reference field="4294967294" count="1" selected="0">
            <x v="0"/>
          </reference>
          <reference field="1" count="1" selected="0">
            <x v="15"/>
          </reference>
        </references>
      </pivotArea>
    </chartFormat>
    <chartFormat chart="0" format="9">
      <pivotArea type="data" outline="0" fieldPosition="0">
        <references count="2">
          <reference field="4294967294" count="1" selected="0">
            <x v="0"/>
          </reference>
          <reference field="1" count="1" selected="0">
            <x v="31"/>
          </reference>
        </references>
      </pivotArea>
    </chartFormat>
    <chartFormat chart="0" format="10">
      <pivotArea type="data" outline="0" fieldPosition="0">
        <references count="2">
          <reference field="4294967294" count="1" selected="0">
            <x v="0"/>
          </reference>
          <reference field="1" count="1" selected="0">
            <x v="59"/>
          </reference>
        </references>
      </pivotArea>
    </chartFormat>
    <chartFormat chart="0" format="11">
      <pivotArea type="data" outline="0" fieldPosition="0">
        <references count="2">
          <reference field="4294967294" count="1" selected="0">
            <x v="0"/>
          </reference>
          <reference field="1" count="1" selected="0">
            <x v="79"/>
          </reference>
        </references>
      </pivotArea>
    </chartFormat>
  </chartFormats>
  <pivotTableStyleInfo name="PivotStyleDark7"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46"/>
    </i>
    <i>
      <x v="54"/>
    </i>
    <i>
      <x v="70"/>
    </i>
    <i>
      <x v="103"/>
    </i>
    <i>
      <x v="135"/>
    </i>
  </rowItems>
  <colItems count="1">
    <i/>
  </colItems>
  <dataFields count="1">
    <dataField name="Total Sales " fld="8" baseField="1" baseItem="3"/>
  </dataFields>
  <pivotTableStyleInfo name="PivotStyleDark11"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Sales Executive">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8"/>
    </i>
    <i>
      <x v="62"/>
    </i>
    <i>
      <x v="82"/>
    </i>
    <i>
      <x v="111"/>
    </i>
    <i>
      <x v="119"/>
    </i>
  </rowItems>
  <colItems count="1">
    <i/>
  </colItems>
  <dataFields count="1">
    <dataField name="Total Sales " fld="8" baseField="1" baseItem="3"/>
  </dataFields>
  <chartFormats count="1">
    <chartFormat chart="0" format="1"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0"/>
    <pivotTable tabId="4" name="PivotTable5"/>
    <pivotTable tabId="4" name="PivotTable7"/>
    <pivotTable tabId="4" name="PivotTable9"/>
  </pivotTables>
  <data>
    <tabular pivotCacheId="1">
      <items count="8">
        <i x="3"/>
        <i x="1"/>
        <i x="0" s="1"/>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8" showCaption="0"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142"/>
  <sheetViews>
    <sheetView workbookViewId="0">
      <selection activeCell="D8" sqref="A1:L142"/>
    </sheetView>
  </sheetViews>
  <sheetFormatPr defaultRowHeight="14.5" x14ac:dyDescent="0.35"/>
  <cols>
    <col min="1" max="1" width="10.7265625" bestFit="1" customWidth="1"/>
    <col min="2" max="2" width="19.81640625" bestFit="1" customWidth="1"/>
    <col min="3" max="3" width="7.81640625" bestFit="1" customWidth="1"/>
    <col min="4" max="8" width="4.6328125" bestFit="1" customWidth="1"/>
    <col min="9" max="9" width="9" bestFit="1" customWidth="1"/>
    <col min="10" max="10" width="5.6328125" bestFit="1" customWidth="1"/>
    <col min="11" max="11" width="10.1796875" bestFit="1" customWidth="1"/>
    <col min="12" max="12" width="16.54296875"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2" t="s">
        <v>12</v>
      </c>
      <c r="B2" s="3" t="s">
        <v>13</v>
      </c>
      <c r="C2" s="3" t="s">
        <v>14</v>
      </c>
      <c r="D2" s="4">
        <v>49</v>
      </c>
      <c r="E2" s="4">
        <v>84</v>
      </c>
      <c r="F2" s="4">
        <v>98</v>
      </c>
      <c r="G2" s="4">
        <v>67</v>
      </c>
      <c r="H2" s="4">
        <v>41</v>
      </c>
      <c r="I2" s="5">
        <f>SUM(D2:H2)</f>
        <v>339</v>
      </c>
      <c r="J2" s="5">
        <v>500</v>
      </c>
      <c r="K2" s="6">
        <f>I2/J2</f>
        <v>0.67800000000000005</v>
      </c>
      <c r="L2" s="7">
        <f>100%-K2</f>
        <v>0.32199999999999995</v>
      </c>
    </row>
    <row r="3" spans="1:12" x14ac:dyDescent="0.35">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row>
    <row r="4" spans="1:12" x14ac:dyDescent="0.35">
      <c r="A4" s="2" t="s">
        <v>18</v>
      </c>
      <c r="B4" s="3" t="s">
        <v>19</v>
      </c>
      <c r="C4" s="3" t="s">
        <v>20</v>
      </c>
      <c r="D4" s="4">
        <v>45</v>
      </c>
      <c r="E4" s="4">
        <v>79</v>
      </c>
      <c r="F4" s="4">
        <v>88</v>
      </c>
      <c r="G4" s="4">
        <v>73</v>
      </c>
      <c r="H4" s="4">
        <v>94</v>
      </c>
      <c r="I4" s="5">
        <f t="shared" si="0"/>
        <v>379</v>
      </c>
      <c r="J4" s="5">
        <v>500</v>
      </c>
      <c r="K4" s="6">
        <f t="shared" si="1"/>
        <v>0.75800000000000001</v>
      </c>
      <c r="L4" s="7">
        <f t="shared" si="2"/>
        <v>0.24199999999999999</v>
      </c>
    </row>
    <row r="5" spans="1:12" x14ac:dyDescent="0.35">
      <c r="A5" s="2" t="s">
        <v>21</v>
      </c>
      <c r="B5" s="3" t="s">
        <v>22</v>
      </c>
      <c r="C5" s="3" t="s">
        <v>23</v>
      </c>
      <c r="D5" s="4">
        <v>52</v>
      </c>
      <c r="E5" s="4">
        <v>99</v>
      </c>
      <c r="F5" s="4">
        <v>13</v>
      </c>
      <c r="G5" s="4">
        <v>95</v>
      </c>
      <c r="H5" s="4">
        <v>29</v>
      </c>
      <c r="I5" s="5">
        <f t="shared" si="0"/>
        <v>288</v>
      </c>
      <c r="J5" s="5">
        <v>500</v>
      </c>
      <c r="K5" s="6">
        <f t="shared" si="1"/>
        <v>0.57599999999999996</v>
      </c>
      <c r="L5" s="7">
        <f t="shared" si="2"/>
        <v>0.42400000000000004</v>
      </c>
    </row>
    <row r="6" spans="1:12" x14ac:dyDescent="0.35">
      <c r="A6" s="2" t="s">
        <v>24</v>
      </c>
      <c r="B6" s="3" t="s">
        <v>25</v>
      </c>
      <c r="C6" s="3" t="s">
        <v>26</v>
      </c>
      <c r="D6" s="4">
        <v>35</v>
      </c>
      <c r="E6" s="4">
        <v>54</v>
      </c>
      <c r="F6" s="4">
        <v>49</v>
      </c>
      <c r="G6" s="4">
        <v>26</v>
      </c>
      <c r="H6" s="4">
        <v>49</v>
      </c>
      <c r="I6" s="5">
        <f t="shared" si="0"/>
        <v>213</v>
      </c>
      <c r="J6" s="5">
        <v>500</v>
      </c>
      <c r="K6" s="6">
        <f t="shared" si="1"/>
        <v>0.42599999999999999</v>
      </c>
      <c r="L6" s="7">
        <f t="shared" si="2"/>
        <v>0.57400000000000007</v>
      </c>
    </row>
    <row r="7" spans="1:12" x14ac:dyDescent="0.35">
      <c r="A7" s="2" t="s">
        <v>27</v>
      </c>
      <c r="B7" s="3" t="s">
        <v>28</v>
      </c>
      <c r="C7" s="3" t="s">
        <v>29</v>
      </c>
      <c r="D7" s="4">
        <v>86</v>
      </c>
      <c r="E7" s="4">
        <v>31</v>
      </c>
      <c r="F7" s="4">
        <v>23</v>
      </c>
      <c r="G7" s="4">
        <v>48</v>
      </c>
      <c r="H7" s="4">
        <v>77</v>
      </c>
      <c r="I7" s="5">
        <f t="shared" si="0"/>
        <v>265</v>
      </c>
      <c r="J7" s="5">
        <v>500</v>
      </c>
      <c r="K7" s="6">
        <f t="shared" si="1"/>
        <v>0.53</v>
      </c>
      <c r="L7" s="7">
        <f t="shared" si="2"/>
        <v>0.47</v>
      </c>
    </row>
    <row r="8" spans="1:12" x14ac:dyDescent="0.35">
      <c r="A8" s="2" t="s">
        <v>30</v>
      </c>
      <c r="B8" s="3" t="s">
        <v>31</v>
      </c>
      <c r="C8" s="3" t="s">
        <v>32</v>
      </c>
      <c r="D8" s="4">
        <v>84</v>
      </c>
      <c r="E8" s="4">
        <v>28</v>
      </c>
      <c r="F8" s="4">
        <v>98</v>
      </c>
      <c r="G8" s="4">
        <v>80</v>
      </c>
      <c r="H8" s="4">
        <v>79</v>
      </c>
      <c r="I8" s="5">
        <f t="shared" si="0"/>
        <v>369</v>
      </c>
      <c r="J8" s="5">
        <v>500</v>
      </c>
      <c r="K8" s="6">
        <f t="shared" si="1"/>
        <v>0.73799999999999999</v>
      </c>
      <c r="L8" s="7">
        <f t="shared" si="2"/>
        <v>0.26200000000000001</v>
      </c>
    </row>
    <row r="9" spans="1:12" x14ac:dyDescent="0.35">
      <c r="A9" s="2" t="s">
        <v>33</v>
      </c>
      <c r="B9" s="3" t="s">
        <v>34</v>
      </c>
      <c r="C9" s="3" t="s">
        <v>35</v>
      </c>
      <c r="D9" s="4">
        <v>73</v>
      </c>
      <c r="E9" s="4">
        <v>97</v>
      </c>
      <c r="F9" s="4">
        <v>38</v>
      </c>
      <c r="G9" s="4">
        <v>24</v>
      </c>
      <c r="H9" s="4">
        <v>53</v>
      </c>
      <c r="I9" s="5">
        <f t="shared" si="0"/>
        <v>285</v>
      </c>
      <c r="J9" s="5">
        <v>500</v>
      </c>
      <c r="K9" s="6">
        <f t="shared" si="1"/>
        <v>0.56999999999999995</v>
      </c>
      <c r="L9" s="7">
        <f t="shared" si="2"/>
        <v>0.43000000000000005</v>
      </c>
    </row>
    <row r="10" spans="1:12" x14ac:dyDescent="0.35">
      <c r="A10" s="2" t="s">
        <v>36</v>
      </c>
      <c r="B10" s="3" t="s">
        <v>37</v>
      </c>
      <c r="C10" s="3" t="s">
        <v>14</v>
      </c>
      <c r="D10" s="4">
        <v>54</v>
      </c>
      <c r="E10" s="4">
        <v>26</v>
      </c>
      <c r="F10" s="4">
        <v>53</v>
      </c>
      <c r="G10" s="4">
        <v>36</v>
      </c>
      <c r="H10" s="4">
        <v>20</v>
      </c>
      <c r="I10" s="5">
        <f t="shared" si="0"/>
        <v>189</v>
      </c>
      <c r="J10" s="5">
        <v>500</v>
      </c>
      <c r="K10" s="6">
        <f t="shared" si="1"/>
        <v>0.378</v>
      </c>
      <c r="L10" s="7">
        <f t="shared" si="2"/>
        <v>0.622</v>
      </c>
    </row>
    <row r="11" spans="1:12" x14ac:dyDescent="0.35">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row>
    <row r="12" spans="1:12" x14ac:dyDescent="0.35">
      <c r="A12" s="2" t="s">
        <v>40</v>
      </c>
      <c r="B12" s="3" t="s">
        <v>41</v>
      </c>
      <c r="C12" s="3" t="s">
        <v>20</v>
      </c>
      <c r="D12" s="4">
        <v>63</v>
      </c>
      <c r="E12" s="4">
        <v>17</v>
      </c>
      <c r="F12" s="4">
        <v>40</v>
      </c>
      <c r="G12" s="4">
        <v>48</v>
      </c>
      <c r="H12" s="4">
        <v>51</v>
      </c>
      <c r="I12" s="5">
        <f t="shared" si="0"/>
        <v>219</v>
      </c>
      <c r="J12" s="5">
        <v>500</v>
      </c>
      <c r="K12" s="6">
        <f t="shared" si="1"/>
        <v>0.438</v>
      </c>
      <c r="L12" s="7">
        <f t="shared" si="2"/>
        <v>0.56200000000000006</v>
      </c>
    </row>
    <row r="13" spans="1:12" x14ac:dyDescent="0.35">
      <c r="A13" s="2" t="s">
        <v>42</v>
      </c>
      <c r="B13" s="3" t="s">
        <v>43</v>
      </c>
      <c r="C13" s="3" t="s">
        <v>23</v>
      </c>
      <c r="D13" s="4">
        <v>79</v>
      </c>
      <c r="E13" s="4">
        <v>99</v>
      </c>
      <c r="F13" s="4">
        <v>95</v>
      </c>
      <c r="G13" s="4">
        <v>12</v>
      </c>
      <c r="H13" s="4">
        <v>91</v>
      </c>
      <c r="I13" s="5">
        <f t="shared" si="0"/>
        <v>376</v>
      </c>
      <c r="J13" s="5">
        <v>500</v>
      </c>
      <c r="K13" s="6">
        <f t="shared" si="1"/>
        <v>0.752</v>
      </c>
      <c r="L13" s="7">
        <f t="shared" si="2"/>
        <v>0.248</v>
      </c>
    </row>
    <row r="14" spans="1:12" x14ac:dyDescent="0.35">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row>
    <row r="15" spans="1:12" x14ac:dyDescent="0.35">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row>
    <row r="16" spans="1:12" x14ac:dyDescent="0.35">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row>
    <row r="17" spans="1:12" x14ac:dyDescent="0.35">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row>
    <row r="18" spans="1:12" x14ac:dyDescent="0.35">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row>
    <row r="19" spans="1:12" x14ac:dyDescent="0.35">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row>
    <row r="20" spans="1:12" x14ac:dyDescent="0.35">
      <c r="A20" s="2" t="s">
        <v>56</v>
      </c>
      <c r="B20" s="3" t="s">
        <v>57</v>
      </c>
      <c r="C20" s="3" t="s">
        <v>20</v>
      </c>
      <c r="D20" s="4">
        <v>19</v>
      </c>
      <c r="E20" s="4">
        <v>34</v>
      </c>
      <c r="F20" s="4">
        <v>64</v>
      </c>
      <c r="G20" s="4">
        <v>65</v>
      </c>
      <c r="H20" s="4">
        <v>70</v>
      </c>
      <c r="I20" s="5">
        <f t="shared" si="0"/>
        <v>252</v>
      </c>
      <c r="J20" s="5">
        <v>500</v>
      </c>
      <c r="K20" s="6">
        <f t="shared" si="1"/>
        <v>0.504</v>
      </c>
      <c r="L20" s="7">
        <f t="shared" si="2"/>
        <v>0.496</v>
      </c>
    </row>
    <row r="21" spans="1:12" x14ac:dyDescent="0.35">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row>
    <row r="22" spans="1:12" x14ac:dyDescent="0.35">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row>
    <row r="23" spans="1:12" x14ac:dyDescent="0.35">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row>
    <row r="24" spans="1:12" x14ac:dyDescent="0.35">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row>
    <row r="25" spans="1:12" x14ac:dyDescent="0.35">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row>
    <row r="26" spans="1:12" x14ac:dyDescent="0.35">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row>
    <row r="27" spans="1:12" x14ac:dyDescent="0.35">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row>
    <row r="28" spans="1:12" x14ac:dyDescent="0.35">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row>
    <row r="29" spans="1:12" x14ac:dyDescent="0.35">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row>
    <row r="30" spans="1:12" x14ac:dyDescent="0.35">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row>
    <row r="31" spans="1:12" x14ac:dyDescent="0.35">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row>
    <row r="32" spans="1:12" x14ac:dyDescent="0.35">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row>
    <row r="33" spans="1:12" x14ac:dyDescent="0.35">
      <c r="A33" s="2" t="s">
        <v>82</v>
      </c>
      <c r="B33" s="3" t="s">
        <v>83</v>
      </c>
      <c r="C33" s="3" t="s">
        <v>35</v>
      </c>
      <c r="D33" s="4">
        <v>37</v>
      </c>
      <c r="E33" s="4">
        <v>30</v>
      </c>
      <c r="F33" s="4">
        <v>19</v>
      </c>
      <c r="G33" s="4">
        <v>77</v>
      </c>
      <c r="H33" s="4">
        <v>67</v>
      </c>
      <c r="I33" s="5">
        <f t="shared" si="0"/>
        <v>230</v>
      </c>
      <c r="J33" s="5">
        <v>500</v>
      </c>
      <c r="K33" s="6">
        <f t="shared" si="1"/>
        <v>0.46</v>
      </c>
      <c r="L33" s="7">
        <f t="shared" si="2"/>
        <v>0.54</v>
      </c>
    </row>
    <row r="34" spans="1:12" x14ac:dyDescent="0.35">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row>
    <row r="35" spans="1:12" x14ac:dyDescent="0.35">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row>
    <row r="36" spans="1:12" x14ac:dyDescent="0.35">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row>
    <row r="37" spans="1:12" x14ac:dyDescent="0.35">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row>
    <row r="38" spans="1:12" x14ac:dyDescent="0.35">
      <c r="A38" s="2" t="s">
        <v>92</v>
      </c>
      <c r="B38" s="3" t="s">
        <v>93</v>
      </c>
      <c r="C38" s="3" t="s">
        <v>26</v>
      </c>
      <c r="D38" s="4">
        <v>91</v>
      </c>
      <c r="E38" s="4">
        <v>13</v>
      </c>
      <c r="F38" s="4">
        <v>79</v>
      </c>
      <c r="G38" s="4">
        <v>85</v>
      </c>
      <c r="H38" s="4">
        <v>67</v>
      </c>
      <c r="I38" s="5">
        <f t="shared" si="0"/>
        <v>335</v>
      </c>
      <c r="J38" s="5">
        <v>500</v>
      </c>
      <c r="K38" s="6">
        <f t="shared" si="1"/>
        <v>0.67</v>
      </c>
      <c r="L38" s="7">
        <f t="shared" si="2"/>
        <v>0.32999999999999996</v>
      </c>
    </row>
    <row r="39" spans="1:12" x14ac:dyDescent="0.35">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row>
    <row r="40" spans="1:12" x14ac:dyDescent="0.35">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row>
    <row r="41" spans="1:12" x14ac:dyDescent="0.35">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row>
    <row r="42" spans="1:12" x14ac:dyDescent="0.35">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row>
    <row r="43" spans="1:12" x14ac:dyDescent="0.35">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row>
    <row r="44" spans="1:12" x14ac:dyDescent="0.35">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row>
    <row r="45" spans="1:12" x14ac:dyDescent="0.35">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row>
    <row r="46" spans="1:12" x14ac:dyDescent="0.35">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row>
    <row r="47" spans="1:12" x14ac:dyDescent="0.35">
      <c r="A47" s="2" t="s">
        <v>110</v>
      </c>
      <c r="B47" s="3" t="s">
        <v>111</v>
      </c>
      <c r="C47" s="3" t="s">
        <v>29</v>
      </c>
      <c r="D47" s="4">
        <v>49</v>
      </c>
      <c r="E47" s="4">
        <v>82</v>
      </c>
      <c r="F47" s="4">
        <v>95</v>
      </c>
      <c r="G47" s="4">
        <v>46</v>
      </c>
      <c r="H47" s="4">
        <v>78</v>
      </c>
      <c r="I47" s="5">
        <f t="shared" si="0"/>
        <v>350</v>
      </c>
      <c r="J47" s="5">
        <v>500</v>
      </c>
      <c r="K47" s="6">
        <f t="shared" si="1"/>
        <v>0.7</v>
      </c>
      <c r="L47" s="7">
        <f t="shared" si="2"/>
        <v>0.30000000000000004</v>
      </c>
    </row>
    <row r="48" spans="1:12" x14ac:dyDescent="0.35">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row>
    <row r="49" spans="1:12" x14ac:dyDescent="0.35">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row>
    <row r="50" spans="1:12" x14ac:dyDescent="0.35">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row>
    <row r="51" spans="1:12" x14ac:dyDescent="0.35">
      <c r="A51" s="2" t="s">
        <v>118</v>
      </c>
      <c r="B51" s="3" t="s">
        <v>119</v>
      </c>
      <c r="C51" s="3" t="s">
        <v>17</v>
      </c>
      <c r="D51" s="4">
        <v>17</v>
      </c>
      <c r="E51" s="4">
        <v>84</v>
      </c>
      <c r="F51" s="4">
        <v>90</v>
      </c>
      <c r="G51" s="4">
        <v>77</v>
      </c>
      <c r="H51" s="4">
        <v>72</v>
      </c>
      <c r="I51" s="5">
        <f t="shared" si="0"/>
        <v>340</v>
      </c>
      <c r="J51" s="5">
        <v>500</v>
      </c>
      <c r="K51" s="6">
        <f t="shared" si="1"/>
        <v>0.68</v>
      </c>
      <c r="L51" s="7">
        <f t="shared" si="2"/>
        <v>0.31999999999999995</v>
      </c>
    </row>
    <row r="52" spans="1:12" x14ac:dyDescent="0.35">
      <c r="A52" s="2" t="s">
        <v>120</v>
      </c>
      <c r="B52" s="3" t="s">
        <v>121</v>
      </c>
      <c r="C52" s="3" t="s">
        <v>20</v>
      </c>
      <c r="D52" s="4">
        <v>52</v>
      </c>
      <c r="E52" s="4">
        <v>36</v>
      </c>
      <c r="F52" s="4">
        <v>84</v>
      </c>
      <c r="G52" s="4">
        <v>41</v>
      </c>
      <c r="H52" s="4">
        <v>57</v>
      </c>
      <c r="I52" s="5">
        <f t="shared" si="0"/>
        <v>270</v>
      </c>
      <c r="J52" s="5">
        <v>500</v>
      </c>
      <c r="K52" s="6">
        <f t="shared" si="1"/>
        <v>0.54</v>
      </c>
      <c r="L52" s="7">
        <f t="shared" si="2"/>
        <v>0.45999999999999996</v>
      </c>
    </row>
    <row r="53" spans="1:12" x14ac:dyDescent="0.35">
      <c r="A53" s="2" t="s">
        <v>122</v>
      </c>
      <c r="B53" s="3" t="s">
        <v>123</v>
      </c>
      <c r="C53" s="3" t="s">
        <v>23</v>
      </c>
      <c r="D53" s="4">
        <v>65</v>
      </c>
      <c r="E53" s="4">
        <v>67</v>
      </c>
      <c r="F53" s="4">
        <v>72</v>
      </c>
      <c r="G53" s="4">
        <v>22</v>
      </c>
      <c r="H53" s="4">
        <v>23</v>
      </c>
      <c r="I53" s="5">
        <f t="shared" si="0"/>
        <v>249</v>
      </c>
      <c r="J53" s="5">
        <v>500</v>
      </c>
      <c r="K53" s="6">
        <f t="shared" si="1"/>
        <v>0.498</v>
      </c>
      <c r="L53" s="7">
        <f t="shared" si="2"/>
        <v>0.502</v>
      </c>
    </row>
    <row r="54" spans="1:12" x14ac:dyDescent="0.35">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row>
    <row r="55" spans="1:12" x14ac:dyDescent="0.35">
      <c r="A55" s="2" t="s">
        <v>126</v>
      </c>
      <c r="B55" s="3" t="s">
        <v>127</v>
      </c>
      <c r="C55" s="3" t="s">
        <v>29</v>
      </c>
      <c r="D55" s="4">
        <v>23</v>
      </c>
      <c r="E55" s="4">
        <v>14</v>
      </c>
      <c r="F55" s="4">
        <v>15</v>
      </c>
      <c r="G55" s="4">
        <v>58</v>
      </c>
      <c r="H55" s="4">
        <v>79</v>
      </c>
      <c r="I55" s="5">
        <f t="shared" si="0"/>
        <v>189</v>
      </c>
      <c r="J55" s="5">
        <v>500</v>
      </c>
      <c r="K55" s="6">
        <f t="shared" si="1"/>
        <v>0.378</v>
      </c>
      <c r="L55" s="7">
        <f t="shared" si="2"/>
        <v>0.622</v>
      </c>
    </row>
    <row r="56" spans="1:12" x14ac:dyDescent="0.35">
      <c r="A56" s="2" t="s">
        <v>128</v>
      </c>
      <c r="B56" s="3" t="s">
        <v>129</v>
      </c>
      <c r="C56" s="3" t="s">
        <v>32</v>
      </c>
      <c r="D56" s="4">
        <v>15</v>
      </c>
      <c r="E56" s="4">
        <v>67</v>
      </c>
      <c r="F56" s="4">
        <v>48</v>
      </c>
      <c r="G56" s="4">
        <v>95</v>
      </c>
      <c r="H56" s="4">
        <v>35</v>
      </c>
      <c r="I56" s="5">
        <f t="shared" si="0"/>
        <v>260</v>
      </c>
      <c r="J56" s="5">
        <v>500</v>
      </c>
      <c r="K56" s="6">
        <f t="shared" si="1"/>
        <v>0.52</v>
      </c>
      <c r="L56" s="7">
        <f t="shared" si="2"/>
        <v>0.48</v>
      </c>
    </row>
    <row r="57" spans="1:12" x14ac:dyDescent="0.35">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row>
    <row r="58" spans="1:12" x14ac:dyDescent="0.35">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row>
    <row r="59" spans="1:12" x14ac:dyDescent="0.35">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row>
    <row r="60" spans="1:12" x14ac:dyDescent="0.35">
      <c r="A60" s="2" t="s">
        <v>136</v>
      </c>
      <c r="B60" s="3" t="s">
        <v>137</v>
      </c>
      <c r="C60" s="3" t="s">
        <v>20</v>
      </c>
      <c r="D60" s="4">
        <v>83</v>
      </c>
      <c r="E60" s="4">
        <v>12</v>
      </c>
      <c r="F60" s="4">
        <v>70</v>
      </c>
      <c r="G60" s="4">
        <v>83</v>
      </c>
      <c r="H60" s="4">
        <v>52</v>
      </c>
      <c r="I60" s="5">
        <f t="shared" si="0"/>
        <v>300</v>
      </c>
      <c r="J60" s="5">
        <v>500</v>
      </c>
      <c r="K60" s="6">
        <f t="shared" si="1"/>
        <v>0.6</v>
      </c>
      <c r="L60" s="7">
        <f t="shared" si="2"/>
        <v>0.4</v>
      </c>
    </row>
    <row r="61" spans="1:12" x14ac:dyDescent="0.35">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row>
    <row r="62" spans="1:12" x14ac:dyDescent="0.35">
      <c r="A62" s="2" t="s">
        <v>140</v>
      </c>
      <c r="B62" s="3" t="s">
        <v>141</v>
      </c>
      <c r="C62" s="3" t="s">
        <v>26</v>
      </c>
      <c r="D62" s="4">
        <v>40</v>
      </c>
      <c r="E62" s="4">
        <v>70</v>
      </c>
      <c r="F62" s="4">
        <v>19</v>
      </c>
      <c r="G62" s="4">
        <v>36</v>
      </c>
      <c r="H62" s="4">
        <v>52</v>
      </c>
      <c r="I62" s="5">
        <f t="shared" si="0"/>
        <v>217</v>
      </c>
      <c r="J62" s="5">
        <v>500</v>
      </c>
      <c r="K62" s="6">
        <f t="shared" si="1"/>
        <v>0.434</v>
      </c>
      <c r="L62" s="7">
        <f t="shared" si="2"/>
        <v>0.56600000000000006</v>
      </c>
    </row>
    <row r="63" spans="1:12" x14ac:dyDescent="0.35">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row>
    <row r="64" spans="1:12" x14ac:dyDescent="0.35">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row>
    <row r="65" spans="1:12" x14ac:dyDescent="0.35">
      <c r="A65" s="2" t="s">
        <v>146</v>
      </c>
      <c r="B65" s="3" t="s">
        <v>147</v>
      </c>
      <c r="C65" s="3" t="s">
        <v>35</v>
      </c>
      <c r="D65" s="4">
        <v>75</v>
      </c>
      <c r="E65" s="4">
        <v>75</v>
      </c>
      <c r="F65" s="4">
        <v>89</v>
      </c>
      <c r="G65" s="4">
        <v>97</v>
      </c>
      <c r="H65" s="4">
        <v>49</v>
      </c>
      <c r="I65" s="5">
        <f t="shared" si="0"/>
        <v>385</v>
      </c>
      <c r="J65" s="5">
        <v>500</v>
      </c>
      <c r="K65" s="6">
        <f t="shared" si="1"/>
        <v>0.77</v>
      </c>
      <c r="L65" s="7">
        <f t="shared" si="2"/>
        <v>0.22999999999999998</v>
      </c>
    </row>
    <row r="66" spans="1:12" x14ac:dyDescent="0.35">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row>
    <row r="67" spans="1:12" x14ac:dyDescent="0.35">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row>
    <row r="68" spans="1:12" x14ac:dyDescent="0.35">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row>
    <row r="69" spans="1:12" x14ac:dyDescent="0.35">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row>
    <row r="70" spans="1:12" x14ac:dyDescent="0.35">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row>
    <row r="71" spans="1:12" x14ac:dyDescent="0.35">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row>
    <row r="72" spans="1:12" x14ac:dyDescent="0.35">
      <c r="A72" s="2" t="s">
        <v>160</v>
      </c>
      <c r="B72" s="3" t="s">
        <v>161</v>
      </c>
      <c r="C72" s="3" t="s">
        <v>32</v>
      </c>
      <c r="D72" s="4">
        <v>68</v>
      </c>
      <c r="E72" s="4">
        <v>36</v>
      </c>
      <c r="F72" s="4">
        <v>15</v>
      </c>
      <c r="G72" s="4">
        <v>20</v>
      </c>
      <c r="H72" s="4">
        <v>17</v>
      </c>
      <c r="I72" s="5">
        <f t="shared" si="3"/>
        <v>156</v>
      </c>
      <c r="J72" s="5">
        <v>500</v>
      </c>
      <c r="K72" s="6">
        <f t="shared" si="4"/>
        <v>0.312</v>
      </c>
      <c r="L72" s="7">
        <f t="shared" si="5"/>
        <v>0.68799999999999994</v>
      </c>
    </row>
    <row r="73" spans="1:12" x14ac:dyDescent="0.35">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row>
    <row r="74" spans="1:12" x14ac:dyDescent="0.35">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row>
    <row r="75" spans="1:12" x14ac:dyDescent="0.35">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row>
    <row r="76" spans="1:12" x14ac:dyDescent="0.35">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row>
    <row r="77" spans="1:12" x14ac:dyDescent="0.35">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row>
    <row r="78" spans="1:12" x14ac:dyDescent="0.35">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row>
    <row r="79" spans="1:12" x14ac:dyDescent="0.35">
      <c r="A79" s="2" t="s">
        <v>174</v>
      </c>
      <c r="B79" s="3" t="s">
        <v>175</v>
      </c>
      <c r="C79" s="3" t="s">
        <v>29</v>
      </c>
      <c r="D79" s="4">
        <v>50</v>
      </c>
      <c r="E79" s="4">
        <v>44</v>
      </c>
      <c r="F79" s="4">
        <v>46</v>
      </c>
      <c r="G79" s="4">
        <v>13</v>
      </c>
      <c r="H79" s="4">
        <v>92</v>
      </c>
      <c r="I79" s="5">
        <f t="shared" si="3"/>
        <v>245</v>
      </c>
      <c r="J79" s="5">
        <v>500</v>
      </c>
      <c r="K79" s="6">
        <f t="shared" si="4"/>
        <v>0.49</v>
      </c>
      <c r="L79" s="7">
        <f t="shared" si="5"/>
        <v>0.51</v>
      </c>
    </row>
    <row r="80" spans="1:12" x14ac:dyDescent="0.35">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row>
    <row r="81" spans="1:12" x14ac:dyDescent="0.35">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row>
    <row r="82" spans="1:12" x14ac:dyDescent="0.35">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row>
    <row r="83" spans="1:12" x14ac:dyDescent="0.35">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row>
    <row r="84" spans="1:12" x14ac:dyDescent="0.35">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row>
    <row r="85" spans="1:12" x14ac:dyDescent="0.35">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row>
    <row r="86" spans="1:12" x14ac:dyDescent="0.35">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row>
    <row r="87" spans="1:12" x14ac:dyDescent="0.35">
      <c r="A87" s="2" t="s">
        <v>190</v>
      </c>
      <c r="B87" s="3" t="s">
        <v>191</v>
      </c>
      <c r="C87" s="3" t="s">
        <v>29</v>
      </c>
      <c r="D87" s="4">
        <v>46</v>
      </c>
      <c r="E87" s="4">
        <v>19</v>
      </c>
      <c r="F87" s="4">
        <v>59</v>
      </c>
      <c r="G87" s="4">
        <v>58</v>
      </c>
      <c r="H87" s="4">
        <v>33</v>
      </c>
      <c r="I87" s="5">
        <f t="shared" si="3"/>
        <v>215</v>
      </c>
      <c r="J87" s="5">
        <v>500</v>
      </c>
      <c r="K87" s="6">
        <f t="shared" si="4"/>
        <v>0.43</v>
      </c>
      <c r="L87" s="7">
        <f t="shared" si="5"/>
        <v>0.57000000000000006</v>
      </c>
    </row>
    <row r="88" spans="1:12" x14ac:dyDescent="0.35">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row>
    <row r="89" spans="1:12" x14ac:dyDescent="0.35">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row>
    <row r="90" spans="1:12" x14ac:dyDescent="0.35">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row>
    <row r="91" spans="1:12" x14ac:dyDescent="0.35">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row>
    <row r="92" spans="1:12" x14ac:dyDescent="0.35">
      <c r="A92" s="2" t="s">
        <v>200</v>
      </c>
      <c r="B92" s="3" t="s">
        <v>201</v>
      </c>
      <c r="C92" s="3" t="s">
        <v>20</v>
      </c>
      <c r="D92" s="4">
        <v>80</v>
      </c>
      <c r="E92" s="4">
        <v>73</v>
      </c>
      <c r="F92" s="4">
        <v>21</v>
      </c>
      <c r="G92" s="4">
        <v>72</v>
      </c>
      <c r="H92" s="4">
        <v>54</v>
      </c>
      <c r="I92" s="5">
        <f t="shared" si="3"/>
        <v>300</v>
      </c>
      <c r="J92" s="5">
        <v>500</v>
      </c>
      <c r="K92" s="6">
        <f t="shared" si="4"/>
        <v>0.6</v>
      </c>
      <c r="L92" s="7">
        <f t="shared" si="5"/>
        <v>0.4</v>
      </c>
    </row>
    <row r="93" spans="1:12" x14ac:dyDescent="0.35">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row>
    <row r="94" spans="1:12" x14ac:dyDescent="0.35">
      <c r="A94" s="2" t="s">
        <v>204</v>
      </c>
      <c r="B94" s="3" t="s">
        <v>205</v>
      </c>
      <c r="C94" s="3" t="s">
        <v>26</v>
      </c>
      <c r="D94" s="4">
        <v>18</v>
      </c>
      <c r="E94" s="4">
        <v>80</v>
      </c>
      <c r="F94" s="4">
        <v>20</v>
      </c>
      <c r="G94" s="4">
        <v>32</v>
      </c>
      <c r="H94" s="4">
        <v>95</v>
      </c>
      <c r="I94" s="5">
        <f t="shared" si="3"/>
        <v>245</v>
      </c>
      <c r="J94" s="5">
        <v>500</v>
      </c>
      <c r="K94" s="6">
        <f t="shared" si="4"/>
        <v>0.49</v>
      </c>
      <c r="L94" s="7">
        <f t="shared" si="5"/>
        <v>0.51</v>
      </c>
    </row>
    <row r="95" spans="1:12" x14ac:dyDescent="0.35">
      <c r="A95" s="2" t="s">
        <v>206</v>
      </c>
      <c r="B95" s="3" t="s">
        <v>207</v>
      </c>
      <c r="C95" s="3" t="s">
        <v>29</v>
      </c>
      <c r="D95" s="4">
        <v>96</v>
      </c>
      <c r="E95" s="4">
        <v>14</v>
      </c>
      <c r="F95" s="4">
        <v>20</v>
      </c>
      <c r="G95" s="4">
        <v>31</v>
      </c>
      <c r="H95" s="4">
        <v>44</v>
      </c>
      <c r="I95" s="5">
        <f t="shared" si="3"/>
        <v>205</v>
      </c>
      <c r="J95" s="5">
        <v>500</v>
      </c>
      <c r="K95" s="6">
        <f t="shared" si="4"/>
        <v>0.41</v>
      </c>
      <c r="L95" s="7">
        <f t="shared" si="5"/>
        <v>0.59000000000000008</v>
      </c>
    </row>
    <row r="96" spans="1:12" x14ac:dyDescent="0.35">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row>
    <row r="97" spans="1:12" x14ac:dyDescent="0.35">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row>
    <row r="98" spans="1:12" x14ac:dyDescent="0.35">
      <c r="A98" s="2" t="s">
        <v>212</v>
      </c>
      <c r="B98" s="3" t="s">
        <v>213</v>
      </c>
      <c r="C98" s="3" t="s">
        <v>14</v>
      </c>
      <c r="D98" s="4">
        <v>31</v>
      </c>
      <c r="E98" s="4">
        <v>48</v>
      </c>
      <c r="F98" s="4">
        <v>56</v>
      </c>
      <c r="G98" s="4">
        <v>85</v>
      </c>
      <c r="H98" s="4">
        <v>25</v>
      </c>
      <c r="I98" s="5">
        <f t="shared" si="3"/>
        <v>245</v>
      </c>
      <c r="J98" s="5">
        <v>500</v>
      </c>
      <c r="K98" s="6">
        <f t="shared" si="4"/>
        <v>0.49</v>
      </c>
      <c r="L98" s="7">
        <f t="shared" si="5"/>
        <v>0.51</v>
      </c>
    </row>
    <row r="99" spans="1:12" x14ac:dyDescent="0.35">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row>
    <row r="100" spans="1:12" x14ac:dyDescent="0.35">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row>
    <row r="101" spans="1:12" x14ac:dyDescent="0.35">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row>
    <row r="102" spans="1:12" x14ac:dyDescent="0.35">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row>
    <row r="103" spans="1:12" x14ac:dyDescent="0.35">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row>
    <row r="104" spans="1:12" x14ac:dyDescent="0.35">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row>
    <row r="105" spans="1:12" x14ac:dyDescent="0.35">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row>
    <row r="106" spans="1:12" x14ac:dyDescent="0.35">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row>
    <row r="107" spans="1:12" x14ac:dyDescent="0.35">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row>
    <row r="108" spans="1:12" x14ac:dyDescent="0.35">
      <c r="A108" s="2" t="s">
        <v>232</v>
      </c>
      <c r="B108" s="3" t="s">
        <v>233</v>
      </c>
      <c r="C108" s="3" t="s">
        <v>20</v>
      </c>
      <c r="D108" s="4">
        <v>61</v>
      </c>
      <c r="E108" s="4">
        <v>91</v>
      </c>
      <c r="F108" s="4">
        <v>53</v>
      </c>
      <c r="G108" s="4">
        <v>78</v>
      </c>
      <c r="H108" s="4">
        <v>91</v>
      </c>
      <c r="I108" s="5">
        <f t="shared" si="3"/>
        <v>374</v>
      </c>
      <c r="J108" s="5">
        <v>500</v>
      </c>
      <c r="K108" s="6">
        <f t="shared" si="4"/>
        <v>0.748</v>
      </c>
      <c r="L108" s="7">
        <f t="shared" si="5"/>
        <v>0.252</v>
      </c>
    </row>
    <row r="109" spans="1:12" x14ac:dyDescent="0.35">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row>
    <row r="110" spans="1:12" x14ac:dyDescent="0.35">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row>
    <row r="111" spans="1:12" x14ac:dyDescent="0.35">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row>
    <row r="112" spans="1:12" x14ac:dyDescent="0.35">
      <c r="A112" s="2" t="s">
        <v>240</v>
      </c>
      <c r="B112" s="3" t="s">
        <v>241</v>
      </c>
      <c r="C112" s="3" t="s">
        <v>32</v>
      </c>
      <c r="D112" s="4">
        <v>39</v>
      </c>
      <c r="E112" s="4">
        <v>52</v>
      </c>
      <c r="F112" s="4">
        <v>72</v>
      </c>
      <c r="G112" s="4">
        <v>99</v>
      </c>
      <c r="H112" s="4">
        <v>58</v>
      </c>
      <c r="I112" s="5">
        <f t="shared" si="3"/>
        <v>320</v>
      </c>
      <c r="J112" s="5">
        <v>500</v>
      </c>
      <c r="K112" s="6">
        <f t="shared" si="4"/>
        <v>0.64</v>
      </c>
      <c r="L112" s="7">
        <f t="shared" si="5"/>
        <v>0.36</v>
      </c>
    </row>
    <row r="113" spans="1:12" x14ac:dyDescent="0.35">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row>
    <row r="114" spans="1:12" x14ac:dyDescent="0.35">
      <c r="A114" s="2" t="s">
        <v>244</v>
      </c>
      <c r="B114" s="3" t="s">
        <v>245</v>
      </c>
      <c r="C114" s="3" t="s">
        <v>14</v>
      </c>
      <c r="D114" s="4">
        <v>43</v>
      </c>
      <c r="E114" s="4">
        <v>88</v>
      </c>
      <c r="F114" s="4">
        <v>35</v>
      </c>
      <c r="G114" s="4">
        <v>54</v>
      </c>
      <c r="H114" s="4">
        <v>91</v>
      </c>
      <c r="I114" s="5">
        <f t="shared" si="3"/>
        <v>311</v>
      </c>
      <c r="J114" s="5">
        <v>500</v>
      </c>
      <c r="K114" s="6">
        <f t="shared" si="4"/>
        <v>0.622</v>
      </c>
      <c r="L114" s="7">
        <f t="shared" si="5"/>
        <v>0.378</v>
      </c>
    </row>
    <row r="115" spans="1:12" x14ac:dyDescent="0.35">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row>
    <row r="116" spans="1:12" x14ac:dyDescent="0.35">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row>
    <row r="117" spans="1:12" x14ac:dyDescent="0.35">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row>
    <row r="118" spans="1:12" x14ac:dyDescent="0.35">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row>
    <row r="119" spans="1:12" x14ac:dyDescent="0.35">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row>
    <row r="120" spans="1:12" x14ac:dyDescent="0.35">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row>
    <row r="121" spans="1:12" x14ac:dyDescent="0.35">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row>
    <row r="122" spans="1:12" x14ac:dyDescent="0.35">
      <c r="A122" s="2" t="s">
        <v>260</v>
      </c>
      <c r="B122" s="3" t="s">
        <v>261</v>
      </c>
      <c r="C122" s="3" t="s">
        <v>14</v>
      </c>
      <c r="D122" s="4">
        <v>91</v>
      </c>
      <c r="E122" s="4">
        <v>38</v>
      </c>
      <c r="F122" s="4">
        <v>33</v>
      </c>
      <c r="G122" s="4">
        <v>55</v>
      </c>
      <c r="H122" s="4">
        <v>83</v>
      </c>
      <c r="I122" s="5">
        <f t="shared" si="3"/>
        <v>300</v>
      </c>
      <c r="J122" s="5">
        <v>500</v>
      </c>
      <c r="K122" s="6">
        <f t="shared" si="4"/>
        <v>0.6</v>
      </c>
      <c r="L122" s="7">
        <f t="shared" si="5"/>
        <v>0.4</v>
      </c>
    </row>
    <row r="123" spans="1:12" x14ac:dyDescent="0.35">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row>
    <row r="124" spans="1:12" x14ac:dyDescent="0.35">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row>
    <row r="125" spans="1:12" x14ac:dyDescent="0.35">
      <c r="A125" s="2" t="s">
        <v>266</v>
      </c>
      <c r="B125" s="3" t="s">
        <v>267</v>
      </c>
      <c r="C125" s="3" t="s">
        <v>23</v>
      </c>
      <c r="D125" s="4">
        <v>26</v>
      </c>
      <c r="E125" s="4">
        <v>16</v>
      </c>
      <c r="F125" s="4">
        <v>61</v>
      </c>
      <c r="G125" s="4">
        <v>92</v>
      </c>
      <c r="H125" s="4">
        <v>50</v>
      </c>
      <c r="I125" s="5">
        <f t="shared" si="3"/>
        <v>245</v>
      </c>
      <c r="J125" s="5">
        <v>500</v>
      </c>
      <c r="K125" s="6">
        <f t="shared" si="4"/>
        <v>0.49</v>
      </c>
      <c r="L125" s="7">
        <f t="shared" si="5"/>
        <v>0.51</v>
      </c>
    </row>
    <row r="126" spans="1:12" x14ac:dyDescent="0.35">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row>
    <row r="127" spans="1:12" x14ac:dyDescent="0.35">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row>
    <row r="128" spans="1:12" x14ac:dyDescent="0.35">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row>
    <row r="129" spans="1:12" x14ac:dyDescent="0.35">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row>
    <row r="130" spans="1:12" x14ac:dyDescent="0.35">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row>
    <row r="131" spans="1:12" x14ac:dyDescent="0.35">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row>
    <row r="132" spans="1:12" x14ac:dyDescent="0.35">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row>
    <row r="133" spans="1:12" x14ac:dyDescent="0.35">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row>
    <row r="134" spans="1:12" x14ac:dyDescent="0.35">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row>
    <row r="135" spans="1:12" x14ac:dyDescent="0.35">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row>
    <row r="136" spans="1:12" x14ac:dyDescent="0.35">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row>
    <row r="137" spans="1:12" x14ac:dyDescent="0.35">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row>
    <row r="138" spans="1:12" x14ac:dyDescent="0.35">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row>
    <row r="139" spans="1:12" x14ac:dyDescent="0.35">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row>
    <row r="140" spans="1:12" x14ac:dyDescent="0.35">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row>
    <row r="141" spans="1:12" x14ac:dyDescent="0.35">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row>
    <row r="142" spans="1:12" x14ac:dyDescent="0.35">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0"/>
  <sheetViews>
    <sheetView tabSelected="1" zoomScaleNormal="100" workbookViewId="0">
      <selection activeCell="K6" sqref="K6"/>
    </sheetView>
  </sheetViews>
  <sheetFormatPr defaultRowHeight="14.5" x14ac:dyDescent="0.35"/>
  <cols>
    <col min="1" max="1" width="15.7265625" customWidth="1"/>
    <col min="2" max="2" width="10.1796875" customWidth="1"/>
    <col min="3" max="3" width="2.26953125" customWidth="1"/>
    <col min="4" max="4" width="15.7265625" bestFit="1" customWidth="1"/>
    <col min="5" max="5" width="10.1796875" bestFit="1" customWidth="1"/>
    <col min="6" max="6" width="2.90625" customWidth="1"/>
    <col min="7" max="7" width="15.7265625" bestFit="1" customWidth="1"/>
    <col min="8" max="8" width="15.1796875" bestFit="1" customWidth="1"/>
    <col min="9" max="9" width="2.7265625" customWidth="1"/>
    <col min="10" max="10" width="15.7265625" bestFit="1" customWidth="1"/>
    <col min="11" max="11" width="23.1796875" bestFit="1" customWidth="1"/>
  </cols>
  <sheetData>
    <row r="1" spans="1:11" ht="30.5" customHeight="1" x14ac:dyDescent="0.35">
      <c r="A1" s="19" t="b">
        <v>1</v>
      </c>
      <c r="B1" s="19"/>
      <c r="C1" s="19"/>
      <c r="D1" s="19" t="b">
        <v>0</v>
      </c>
      <c r="E1" s="19"/>
      <c r="F1" s="19"/>
      <c r="G1" s="19" t="b">
        <v>0</v>
      </c>
      <c r="H1" s="19"/>
      <c r="I1" s="19"/>
      <c r="J1" s="19" t="b">
        <v>0</v>
      </c>
      <c r="K1" s="19"/>
    </row>
    <row r="2" spans="1:11" ht="35.5" customHeight="1" x14ac:dyDescent="0.35">
      <c r="A2" s="15"/>
      <c r="B2" s="15"/>
      <c r="C2" s="20"/>
      <c r="D2" s="15"/>
      <c r="E2" s="15"/>
      <c r="F2" s="15"/>
      <c r="G2" s="15"/>
      <c r="H2" s="15"/>
      <c r="I2" s="16"/>
      <c r="J2" s="15"/>
      <c r="K2" s="15"/>
    </row>
    <row r="3" spans="1:11" x14ac:dyDescent="0.35">
      <c r="A3" s="9" t="s">
        <v>1</v>
      </c>
      <c r="B3" t="s">
        <v>302</v>
      </c>
      <c r="C3" s="20"/>
      <c r="D3" s="9" t="s">
        <v>1</v>
      </c>
      <c r="E3" t="s">
        <v>302</v>
      </c>
      <c r="F3" s="16"/>
      <c r="G3" s="9" t="s">
        <v>1</v>
      </c>
      <c r="H3" t="s">
        <v>303</v>
      </c>
      <c r="I3" s="16"/>
      <c r="J3" s="9" t="s">
        <v>1</v>
      </c>
      <c r="K3" t="s">
        <v>304</v>
      </c>
    </row>
    <row r="4" spans="1:11" x14ac:dyDescent="0.35">
      <c r="A4" s="10" t="s">
        <v>229</v>
      </c>
      <c r="B4" s="11">
        <v>351</v>
      </c>
      <c r="C4" s="20"/>
      <c r="D4" s="10" t="s">
        <v>213</v>
      </c>
      <c r="E4" s="11">
        <v>245</v>
      </c>
      <c r="F4" s="16"/>
      <c r="G4" s="10" t="s">
        <v>229</v>
      </c>
      <c r="H4" s="12">
        <v>0.70199999999999996</v>
      </c>
      <c r="I4" s="16"/>
      <c r="J4" s="10" t="s">
        <v>213</v>
      </c>
      <c r="K4" s="12">
        <v>0.51</v>
      </c>
    </row>
    <row r="5" spans="1:11" x14ac:dyDescent="0.35">
      <c r="A5" s="10" t="s">
        <v>181</v>
      </c>
      <c r="B5" s="11">
        <v>351</v>
      </c>
      <c r="C5" s="20"/>
      <c r="D5" s="10" t="s">
        <v>197</v>
      </c>
      <c r="E5" s="11">
        <v>281</v>
      </c>
      <c r="F5" s="16"/>
      <c r="G5" s="10" t="s">
        <v>181</v>
      </c>
      <c r="H5" s="12">
        <v>0.70199999999999996</v>
      </c>
      <c r="I5" s="15"/>
      <c r="J5" s="10" t="s">
        <v>197</v>
      </c>
      <c r="K5" s="12">
        <v>0.43799999999999994</v>
      </c>
    </row>
    <row r="6" spans="1:11" x14ac:dyDescent="0.35">
      <c r="A6" s="10" t="s">
        <v>13</v>
      </c>
      <c r="B6" s="11">
        <v>339</v>
      </c>
      <c r="C6" s="20"/>
      <c r="D6" s="10" t="s">
        <v>165</v>
      </c>
      <c r="E6" s="11">
        <v>143</v>
      </c>
      <c r="F6" s="16"/>
      <c r="G6" s="10" t="s">
        <v>13</v>
      </c>
      <c r="H6" s="12">
        <v>0.67800000000000005</v>
      </c>
      <c r="I6" s="16"/>
      <c r="J6" s="10" t="s">
        <v>165</v>
      </c>
      <c r="K6" s="12">
        <v>0.71399999999999997</v>
      </c>
    </row>
    <row r="7" spans="1:11" x14ac:dyDescent="0.35">
      <c r="A7" s="10" t="s">
        <v>85</v>
      </c>
      <c r="B7" s="11">
        <v>332</v>
      </c>
      <c r="C7" s="20"/>
      <c r="D7" s="10" t="s">
        <v>101</v>
      </c>
      <c r="E7" s="11">
        <v>207</v>
      </c>
      <c r="F7" s="16"/>
      <c r="G7" s="10" t="s">
        <v>85</v>
      </c>
      <c r="H7" s="12">
        <v>0.66400000000000003</v>
      </c>
      <c r="I7" s="16"/>
      <c r="J7" s="10" t="s">
        <v>101</v>
      </c>
      <c r="K7" s="12">
        <v>0.58600000000000008</v>
      </c>
    </row>
    <row r="8" spans="1:11" x14ac:dyDescent="0.35">
      <c r="A8" s="10" t="s">
        <v>69</v>
      </c>
      <c r="B8" s="11">
        <v>344</v>
      </c>
      <c r="C8" s="20"/>
      <c r="D8" s="10" t="s">
        <v>37</v>
      </c>
      <c r="E8" s="11">
        <v>189</v>
      </c>
      <c r="F8" s="16"/>
      <c r="G8" s="10" t="s">
        <v>69</v>
      </c>
      <c r="H8" s="12">
        <v>0.68799999999999994</v>
      </c>
      <c r="I8" s="16"/>
      <c r="J8" s="10" t="s">
        <v>37</v>
      </c>
      <c r="K8" s="12">
        <v>0.622</v>
      </c>
    </row>
    <row r="9" spans="1:11" x14ac:dyDescent="0.35">
      <c r="A9" s="16"/>
      <c r="B9" s="16"/>
      <c r="C9" s="16"/>
      <c r="D9" s="16"/>
      <c r="E9" s="16"/>
      <c r="F9" s="16"/>
      <c r="G9" s="16"/>
      <c r="H9" s="16"/>
      <c r="I9" s="16"/>
      <c r="J9" s="16"/>
      <c r="K9" s="16"/>
    </row>
    <row r="10" spans="1:11" x14ac:dyDescent="0.35">
      <c r="A10" s="16"/>
      <c r="B10" s="16"/>
      <c r="C10" s="16"/>
      <c r="D10" s="16"/>
      <c r="E10" s="16"/>
      <c r="F10" s="16"/>
      <c r="G10" s="16"/>
      <c r="H10" s="16"/>
      <c r="I10" s="16"/>
      <c r="J10" s="16"/>
      <c r="K10" s="16"/>
    </row>
    <row r="11" spans="1:11" x14ac:dyDescent="0.35">
      <c r="A11" s="16"/>
      <c r="B11" s="16"/>
      <c r="C11" s="16"/>
      <c r="D11" s="16"/>
      <c r="E11" s="16"/>
      <c r="F11" s="16"/>
      <c r="G11" s="16"/>
      <c r="H11" s="16"/>
      <c r="I11" s="16"/>
      <c r="J11" s="16"/>
      <c r="K11" s="16"/>
    </row>
    <row r="12" spans="1:11" x14ac:dyDescent="0.35">
      <c r="A12" s="16"/>
      <c r="B12" s="16"/>
      <c r="C12" s="16"/>
      <c r="D12" s="16"/>
      <c r="E12" s="16"/>
      <c r="F12" s="16"/>
      <c r="G12" s="16"/>
      <c r="H12" s="16"/>
      <c r="I12" s="16"/>
      <c r="J12" s="16"/>
      <c r="K12" s="16"/>
    </row>
    <row r="13" spans="1:11" x14ac:dyDescent="0.35">
      <c r="A13" s="16"/>
      <c r="B13" s="16"/>
      <c r="C13" s="16"/>
      <c r="D13" s="17"/>
      <c r="E13" s="18"/>
      <c r="F13" s="16"/>
      <c r="G13" s="16"/>
      <c r="H13" s="16"/>
      <c r="I13" s="16"/>
      <c r="J13" s="16"/>
      <c r="K13" s="16"/>
    </row>
    <row r="14" spans="1:11" x14ac:dyDescent="0.35">
      <c r="A14" s="16"/>
      <c r="B14" s="16"/>
      <c r="C14" s="16"/>
      <c r="D14" s="17"/>
      <c r="E14" s="18"/>
      <c r="F14" s="16"/>
      <c r="G14" s="16"/>
      <c r="H14" s="16"/>
      <c r="I14" s="16"/>
      <c r="J14" s="16"/>
      <c r="K14" s="16"/>
    </row>
    <row r="15" spans="1:11" x14ac:dyDescent="0.35">
      <c r="A15" s="16"/>
      <c r="B15" s="16"/>
      <c r="C15" s="16"/>
      <c r="D15" s="17"/>
      <c r="E15" s="18"/>
      <c r="F15" s="16"/>
      <c r="G15" s="16"/>
      <c r="H15" s="16"/>
      <c r="I15" s="16"/>
      <c r="J15" s="16"/>
      <c r="K15" s="16"/>
    </row>
    <row r="16" spans="1:11" x14ac:dyDescent="0.35">
      <c r="A16" s="16"/>
      <c r="B16" s="16"/>
      <c r="C16" s="16"/>
      <c r="D16" s="17"/>
      <c r="E16" s="18"/>
      <c r="F16" s="16"/>
      <c r="G16" s="16"/>
      <c r="H16" s="16"/>
      <c r="I16" s="16"/>
      <c r="J16" s="16"/>
      <c r="K16" s="16"/>
    </row>
    <row r="17" spans="1:11" x14ac:dyDescent="0.35">
      <c r="A17" s="16"/>
      <c r="B17" s="16"/>
      <c r="C17" s="16"/>
      <c r="D17" s="17"/>
      <c r="E17" s="18"/>
      <c r="F17" s="16"/>
      <c r="G17" s="16"/>
      <c r="H17" s="16"/>
      <c r="I17" s="16"/>
      <c r="J17" s="16"/>
      <c r="K17" s="16"/>
    </row>
    <row r="18" spans="1:11" x14ac:dyDescent="0.35">
      <c r="A18" s="16"/>
      <c r="B18" s="16"/>
      <c r="C18" s="16"/>
      <c r="D18" s="17"/>
      <c r="E18" s="18"/>
      <c r="F18" s="16"/>
      <c r="G18" s="16"/>
      <c r="H18" s="16"/>
      <c r="I18" s="16"/>
      <c r="J18" s="16"/>
      <c r="K18" s="16"/>
    </row>
    <row r="19" spans="1:11" x14ac:dyDescent="0.35">
      <c r="A19" s="13"/>
      <c r="B19" s="13"/>
      <c r="C19" s="13"/>
      <c r="D19" s="13"/>
      <c r="E19" s="13"/>
      <c r="F19" s="13"/>
      <c r="G19" s="13"/>
      <c r="H19" s="13"/>
      <c r="I19" s="13"/>
      <c r="J19" s="13"/>
      <c r="K19" s="13"/>
    </row>
    <row r="20" spans="1:11" x14ac:dyDescent="0.35">
      <c r="A20" s="14"/>
      <c r="B20" s="14"/>
      <c r="C20" s="14"/>
      <c r="D20" s="14"/>
      <c r="E20" s="14"/>
      <c r="F20" s="14"/>
      <c r="G20" s="14"/>
      <c r="H20" s="14"/>
      <c r="I20" s="14"/>
      <c r="J20" s="14"/>
      <c r="K20" s="14"/>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dc:creator>
  <cp:lastModifiedBy>Sai</cp:lastModifiedBy>
  <dcterms:created xsi:type="dcterms:W3CDTF">2026-07-26T04:22:20Z</dcterms:created>
  <dcterms:modified xsi:type="dcterms:W3CDTF">2026-07-26T12:44:38Z</dcterms:modified>
</cp:coreProperties>
</file>